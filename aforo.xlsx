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etso.sharepoint.com/sites/OGInformesturnosierragorda/Shared Documents/Sierra Gorda SAM/Aforo/"/>
    </mc:Choice>
  </mc:AlternateContent>
  <xr:revisionPtr revIDLastSave="26" documentId="8_{E638A212-9A59-41BC-BE20-BDCBE6A1EA2F}" xr6:coauthVersionLast="47" xr6:coauthVersionMax="47" xr10:uidLastSave="{D8DF2B72-E971-454F-B068-3D96A63147C4}"/>
  <bookViews>
    <workbookView xWindow="28690" yWindow="1720" windowWidth="29020" windowHeight="15700" xr2:uid="{00000000-000D-0000-FFFF-FFFF00000000}"/>
  </bookViews>
  <sheets>
    <sheet name="Sheet1" sheetId="1" r:id="rId1"/>
    <sheet name="Hoja1" sheetId="2" r:id="rId2"/>
  </sheets>
  <definedNames>
    <definedName name="_Hlk9649638" localSheetId="0">Sheet1!$A$89</definedName>
    <definedName name="_Toc9649879" localSheetId="0">Sheet1!$B$64</definedName>
    <definedName name="_Toc9649880" localSheetId="0">Sheet1!#REF!</definedName>
    <definedName name="_Toc9649881" localSheetId="0">Sheet1!$A$66</definedName>
    <definedName name="_Toc9649882" localSheetId="0">Sheet1!$B$92</definedName>
    <definedName name="_Toc9649883" localSheetId="0">Sheet1!$A$85</definedName>
    <definedName name="_xlnm.Print_Area" localSheetId="0">Sheet1!$A$1:$G$176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" i="1" l="1"/>
  <c r="M111" i="1" l="1"/>
  <c r="E111" i="1" s="1"/>
  <c r="L77" i="1"/>
  <c r="G75" i="1"/>
  <c r="F75" i="1"/>
  <c r="E75" i="1"/>
  <c r="G76" i="1"/>
  <c r="M99" i="1"/>
  <c r="M79" i="1"/>
  <c r="L79" i="1"/>
  <c r="K79" i="1"/>
  <c r="L135" i="1"/>
  <c r="E136" i="1" s="1"/>
  <c r="K77" i="1"/>
  <c r="E76" i="1" s="1"/>
  <c r="E77" i="1" s="1"/>
  <c r="E78" i="1" s="1"/>
  <c r="F152" i="1" s="1"/>
  <c r="E135" i="1"/>
  <c r="K98" i="1"/>
  <c r="E95" i="1" s="1"/>
  <c r="G59" i="1"/>
  <c r="E110" i="1"/>
  <c r="E94" i="1"/>
  <c r="G1" i="1"/>
  <c r="F94" i="1"/>
  <c r="M143" i="1" l="1"/>
  <c r="E141" i="1" s="1"/>
  <c r="E137" i="1"/>
  <c r="E138" i="1" s="1"/>
  <c r="F157" i="1" s="1"/>
  <c r="F76" i="1"/>
  <c r="F77" i="1" s="1"/>
  <c r="F78" i="1" s="1"/>
  <c r="F153" i="1" s="1"/>
  <c r="E112" i="1"/>
  <c r="E113" i="1" s="1"/>
  <c r="F156" i="1" s="1"/>
  <c r="E96" i="1"/>
  <c r="E97" i="1" s="1"/>
  <c r="F155" i="1" s="1"/>
  <c r="G77" i="1"/>
  <c r="G78" i="1" s="1"/>
  <c r="F154" i="1" s="1"/>
  <c r="F95" i="1"/>
  <c r="F136" i="1" l="1"/>
  <c r="F111" i="1"/>
  <c r="G121" i="1" l="1"/>
  <c r="G61" i="1"/>
  <c r="G119" i="1" l="1"/>
  <c r="F110" i="1" l="1"/>
  <c r="F135" i="1" l="1"/>
</calcChain>
</file>

<file path=xl/sharedStrings.xml><?xml version="1.0" encoding="utf-8"?>
<sst xmlns="http://schemas.openxmlformats.org/spreadsheetml/2006/main" count="147" uniqueCount="80">
  <si>
    <t>Servicio de Mantenimiento de Analizadores en Línea</t>
  </si>
  <si>
    <t xml:space="preserve">Código: </t>
  </si>
  <si>
    <t>N° Cont.:</t>
  </si>
  <si>
    <t>CW2276359</t>
  </si>
  <si>
    <t xml:space="preserve">RESUMEN </t>
  </si>
  <si>
    <t>AFORO MUESTRAS COMPOSITO</t>
  </si>
  <si>
    <t>CAMBIAR FECHA</t>
  </si>
  <si>
    <t>CONTRATO N°: CW2276359</t>
  </si>
  <si>
    <t>CAMBIAR CODIGO</t>
  </si>
  <si>
    <t>ELABORADO POR</t>
  </si>
  <si>
    <t>CARGO</t>
  </si>
  <si>
    <t>APROBADO POR</t>
  </si>
  <si>
    <t>Uriel Elizondo Marambio.</t>
  </si>
  <si>
    <t>Lider de servicio</t>
  </si>
  <si>
    <t>PARA</t>
  </si>
  <si>
    <t>Hernán Ponce Reyes.</t>
  </si>
  <si>
    <t>Administrador de contrato SGSCM</t>
  </si>
  <si>
    <t>EMPRESA</t>
  </si>
  <si>
    <t>Sierra Gorda SCM.</t>
  </si>
  <si>
    <t>SUPERINTENDENCIA</t>
  </si>
  <si>
    <t>Mantención eléctrica.</t>
  </si>
  <si>
    <t xml:space="preserve">AFORO CORTADORES COMPOSITOS  </t>
  </si>
  <si>
    <t>Cortadores alimentación L1-L2-L3</t>
  </si>
  <si>
    <t xml:space="preserve">Se realiza aforo para estimar la  cantidad de muestra que entrega por bloque de 6 horas.                 </t>
  </si>
  <si>
    <t>PARAMETROS OPERACIONALES COURIER ALIMENTACION COMPOSITO 6 HORAS</t>
  </si>
  <si>
    <t>Flujo</t>
  </si>
  <si>
    <t>Molino 1</t>
  </si>
  <si>
    <t>Molino 2</t>
  </si>
  <si>
    <t>Molino 3</t>
  </si>
  <si>
    <t>Tiempo del bloque (hr)</t>
  </si>
  <si>
    <t>Cambiar si es necesario</t>
  </si>
  <si>
    <t>Intervalo de tiempo para cortes (min)</t>
  </si>
  <si>
    <t>Cantidad de cortes por intervalo tiempo (Un)</t>
  </si>
  <si>
    <t>Cantidad de cortes por bloque (Un)</t>
  </si>
  <si>
    <t>Cantidad de muestra por intervalo  (cc)</t>
  </si>
  <si>
    <t>Ingresar nuevo aforo</t>
  </si>
  <si>
    <t>Cantidad de muestra por hora (cc)</t>
  </si>
  <si>
    <t>Cantidad de muestra por bloque (cc)</t>
  </si>
  <si>
    <t>Observaciones</t>
  </si>
  <si>
    <t>S/O</t>
  </si>
  <si>
    <t>promedio</t>
  </si>
  <si>
    <t xml:space="preserve">DATOS DE FLUJO POR COURIER Y TONELAJE </t>
  </si>
  <si>
    <t>PROMEDIO DE LITROS POR COURIER  (Lt)</t>
  </si>
  <si>
    <t>Ingresar dato actualizado 24 hrs</t>
  </si>
  <si>
    <t>TONELAJE MOLINO  (T)</t>
  </si>
  <si>
    <t>TONELAJE MOLINO  (T) EN LINEA</t>
  </si>
  <si>
    <t>Ingresar dato cuando se realiza el aforo</t>
  </si>
  <si>
    <t>Cortador Bulk</t>
  </si>
  <si>
    <t>PARAMETROS OPERACIONALES COURIER CONCENTRADO BULK  6 HORAS</t>
  </si>
  <si>
    <t>Izq.</t>
  </si>
  <si>
    <t>Concentrado Bulk</t>
  </si>
  <si>
    <t xml:space="preserve">Bloque de 6 horas </t>
  </si>
  <si>
    <t xml:space="preserve">DATOS DE FLUJOS POR COURIER  Y CANTIDAD DE COLUMNAS OPERATIVAS </t>
  </si>
  <si>
    <t xml:space="preserve">CANTIDAD DE COLUMNAS OPERATIVAS </t>
  </si>
  <si>
    <t>Se realiza aforo para estimar la cantidad de muestra que entrega por bloque de 24  horas.</t>
  </si>
  <si>
    <t>PARAMETROS OPERACIONALES COURIER CONCENTRADO BULK  24 HORAS</t>
  </si>
  <si>
    <t>Der.</t>
  </si>
  <si>
    <t xml:space="preserve">Concentrado bulk </t>
  </si>
  <si>
    <t>Bloque de 24 horas</t>
  </si>
  <si>
    <t>Cortador Relave Final</t>
  </si>
  <si>
    <t xml:space="preserve">Se realiza aforo para estimar la  cantidad de muestra que entrega por bloque de 6 horas.                  </t>
  </si>
  <si>
    <t>PARAMETROS OPERACIONALES COURIER RELAVE FINAL COMPOSITO 6 HORAS</t>
  </si>
  <si>
    <t>Relave Final</t>
  </si>
  <si>
    <t>Cantidad cortes por interv. tiempo Primario(Un)</t>
  </si>
  <si>
    <t>Cantidad cortes por interv. tiempo Secundario(Un)</t>
  </si>
  <si>
    <t>F/S en Courier</t>
  </si>
  <si>
    <t xml:space="preserve">DATOS DEL ESTADO DEL FLUJO </t>
  </si>
  <si>
    <t>TONELAJE TOTAL HORA (T)</t>
  </si>
  <si>
    <t>F/S</t>
  </si>
  <si>
    <t xml:space="preserve">RESUMEN AFORO CORTADORES </t>
  </si>
  <si>
    <t>FLUJO</t>
  </si>
  <si>
    <t>Lt</t>
  </si>
  <si>
    <t>Alimentación Molino 1</t>
  </si>
  <si>
    <t>Alimentación Molino 2</t>
  </si>
  <si>
    <t>Alimentación Molino 3</t>
  </si>
  <si>
    <t xml:space="preserve">Concentrado Bulk 6 Horas </t>
  </si>
  <si>
    <t xml:space="preserve">Concentrado Bulk 24 Horas </t>
  </si>
  <si>
    <t>Operador mantenedor Lider</t>
  </si>
  <si>
    <t>INF-AFO-COUR-304</t>
  </si>
  <si>
    <t>Rodrigo Valdivia Rojas.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</si>
</sst>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20"/>
      <color rgb="FF005E57"/>
      <name val="Arial"/>
      <family val="2"/>
    </font>
    <font>
      <b/>
      <sz val="16"/>
      <color rgb="FF005E57"/>
      <name val="Arial"/>
      <family val="2"/>
    </font>
    <font>
      <b/>
      <sz val="11"/>
      <color rgb="FF005E57"/>
      <name val="Calibri"/>
      <family val="2"/>
    </font>
    <font>
      <sz val="9"/>
      <color theme="1"/>
      <name val="Tahoma"/>
      <family val="2"/>
    </font>
    <font>
      <b/>
      <u/>
      <sz val="12"/>
      <color theme="1"/>
      <name val="Tahoma"/>
      <family val="2"/>
    </font>
    <font>
      <b/>
      <sz val="14"/>
      <color theme="1"/>
      <name val="Tahoma"/>
      <family val="2"/>
    </font>
    <font>
      <b/>
      <sz val="16"/>
      <color theme="1"/>
      <name val="Tahoma"/>
      <family val="2"/>
    </font>
    <font>
      <sz val="8"/>
      <color theme="1"/>
      <name val="Arial"/>
      <family val="2"/>
      <scheme val="minor"/>
    </font>
    <font>
      <sz val="1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0" borderId="14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10" fillId="0" borderId="0" xfId="0" applyFont="1"/>
    <xf numFmtId="0" fontId="9" fillId="0" borderId="0" xfId="0" applyFont="1" applyAlignment="1">
      <alignment vertical="center"/>
    </xf>
    <xf numFmtId="0" fontId="1" fillId="0" borderId="27" xfId="0" applyFont="1" applyBorder="1" applyAlignment="1">
      <alignment horizontal="center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1" fontId="0" fillId="0" borderId="0" xfId="0" applyNumberFormat="1"/>
    <xf numFmtId="1" fontId="0" fillId="0" borderId="15" xfId="0" applyNumberFormat="1" applyBorder="1" applyAlignment="1">
      <alignment horizontal="center"/>
    </xf>
    <xf numFmtId="1" fontId="0" fillId="0" borderId="30" xfId="0" applyNumberForma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3" borderId="0" xfId="0" applyFill="1"/>
    <xf numFmtId="1" fontId="0" fillId="3" borderId="0" xfId="0" applyNumberFormat="1" applyFill="1"/>
    <xf numFmtId="0" fontId="3" fillId="0" borderId="28" xfId="0" applyFont="1" applyBorder="1" applyAlignment="1">
      <alignment horizontal="left"/>
    </xf>
    <xf numFmtId="0" fontId="3" fillId="0" borderId="29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1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2" borderId="23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2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left"/>
    </xf>
    <xf numFmtId="0" fontId="3" fillId="0" borderId="36" xfId="0" applyFont="1" applyBorder="1" applyAlignment="1">
      <alignment horizontal="left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13" fillId="0" borderId="33" xfId="0" applyFont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3" fillId="0" borderId="30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3" fillId="0" borderId="27" xfId="0" applyFont="1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0" xfId="0" applyBorder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7" fillId="0" borderId="8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0" fillId="0" borderId="6" xfId="0" applyNumberFormat="1" applyBorder="1" applyAlignment="1">
      <alignment horizontal="center"/>
    </xf>
    <xf numFmtId="0" fontId="4" fillId="0" borderId="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Sheet1!$C$152:$C$157</c:f>
              <c:strCache>
                <c:ptCount val="6"/>
                <c:pt idx="0">
                  <c:v>Alimentación Molino 1</c:v>
                </c:pt>
                <c:pt idx="1">
                  <c:v>Alimentación Molino 2</c:v>
                </c:pt>
                <c:pt idx="2">
                  <c:v>Alimentación Molino 3</c:v>
                </c:pt>
                <c:pt idx="3">
                  <c:v>Concentrado Bulk 6 Horas </c:v>
                </c:pt>
                <c:pt idx="4">
                  <c:v>Concentrado Bulk 24 Horas </c:v>
                </c:pt>
                <c:pt idx="5">
                  <c:v>Relave Final</c:v>
                </c:pt>
              </c:strCache>
            </c:strRef>
          </c:cat>
          <c:val>
            <c:numRef>
              <c:f>Sheet1!$D$152:$D$157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C68-4E8F-B548-74EFF781FF65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Sheet1!$C$152:$C$157</c:f>
              <c:strCache>
                <c:ptCount val="6"/>
                <c:pt idx="0">
                  <c:v>Alimentación Molino 1</c:v>
                </c:pt>
                <c:pt idx="1">
                  <c:v>Alimentación Molino 2</c:v>
                </c:pt>
                <c:pt idx="2">
                  <c:v>Alimentación Molino 3</c:v>
                </c:pt>
                <c:pt idx="3">
                  <c:v>Concentrado Bulk 6 Horas </c:v>
                </c:pt>
                <c:pt idx="4">
                  <c:v>Concentrado Bulk 24 Horas </c:v>
                </c:pt>
                <c:pt idx="5">
                  <c:v>Relave Final</c:v>
                </c:pt>
              </c:strCache>
            </c:strRef>
          </c:cat>
          <c:val>
            <c:numRef>
              <c:f>Sheet1!$E$152:$E$157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3C68-4E8F-B548-74EFF781FF65}"/>
            </c:ext>
          </c:extLst>
        </c:ser>
        <c:ser>
          <c:idx val="2"/>
          <c:order val="2"/>
          <c:spPr>
            <a:solidFill>
              <a:schemeClr val="accent4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1.4478301520970818E-2"/>
                  <c:y val="-0.253584965939079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EE-4A48-A47A-E07AE32A410D}"/>
                </c:ext>
              </c:extLst>
            </c:dLbl>
            <c:dLbl>
              <c:idx val="1"/>
              <c:layout>
                <c:manualLayout>
                  <c:x val="1.2409972732260664E-2"/>
                  <c:y val="-0.228226469345171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CEE-4A48-A47A-E07AE32A410D}"/>
                </c:ext>
              </c:extLst>
            </c:dLbl>
            <c:dLbl>
              <c:idx val="2"/>
              <c:layout>
                <c:manualLayout>
                  <c:x val="1.2409972732260702E-2"/>
                  <c:y val="-0.211320804949233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CEE-4A48-A47A-E07AE32A410D}"/>
                </c:ext>
              </c:extLst>
            </c:dLbl>
            <c:dLbl>
              <c:idx val="3"/>
              <c:layout>
                <c:manualLayout>
                  <c:x val="2.0683287887101168E-2"/>
                  <c:y val="-0.224000053246187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EE-4A48-A47A-E07AE32A410D}"/>
                </c:ext>
              </c:extLst>
            </c:dLbl>
            <c:dLbl>
              <c:idx val="4"/>
              <c:layout>
                <c:manualLayout>
                  <c:x val="8.2733151548404667E-3"/>
                  <c:y val="-0.380377448908619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CEE-4A48-A47A-E07AE32A410D}"/>
                </c:ext>
              </c:extLst>
            </c:dLbl>
            <c:dLbl>
              <c:idx val="5"/>
              <c:layout>
                <c:manualLayout>
                  <c:x val="1.4478301520970818E-2"/>
                  <c:y val="-0.190188724454309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EE-4A48-A47A-E07AE32A41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Sheet1!$C$152:$C$157</c:f>
              <c:strCache>
                <c:ptCount val="6"/>
                <c:pt idx="0">
                  <c:v>Alimentación Molino 1</c:v>
                </c:pt>
                <c:pt idx="1">
                  <c:v>Alimentación Molino 2</c:v>
                </c:pt>
                <c:pt idx="2">
                  <c:v>Alimentación Molino 3</c:v>
                </c:pt>
                <c:pt idx="3">
                  <c:v>Concentrado Bulk 6 Horas </c:v>
                </c:pt>
                <c:pt idx="4">
                  <c:v>Concentrado Bulk 24 Horas </c:v>
                </c:pt>
                <c:pt idx="5">
                  <c:v>Relave Final</c:v>
                </c:pt>
              </c:strCache>
            </c:strRef>
          </c:cat>
          <c:val>
            <c:numRef>
              <c:f>Sheet1!$F$152:$F$157</c:f>
              <c:numCache>
                <c:formatCode>General</c:formatCode>
                <c:ptCount val="6"/>
                <c:pt idx="0" formatCode="0.00">
                  <c:v>6.24</c:v>
                </c:pt>
                <c:pt idx="1">
                  <c:v>5.28</c:v>
                </c:pt>
                <c:pt idx="2" formatCode="0.00">
                  <c:v>4.32</c:v>
                </c:pt>
                <c:pt idx="3" formatCode="0.00">
                  <c:v>4.32</c:v>
                </c:pt>
                <c:pt idx="4" formatCode="0.00">
                  <c:v>10.56</c:v>
                </c:pt>
                <c:pt idx="5" formatCode="0.00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8-4E8F-B548-74EFF781F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02274064"/>
        <c:axId val="1593535472"/>
        <c:axId val="0"/>
      </c:bar3DChart>
      <c:catAx>
        <c:axId val="160227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93535472"/>
        <c:crosses val="autoZero"/>
        <c:auto val="0"/>
        <c:lblAlgn val="ctr"/>
        <c:lblOffset val="100"/>
        <c:noMultiLvlLbl val="0"/>
      </c:catAx>
      <c:valAx>
        <c:axId val="15935354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0227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311831</xdr:colOff>
      <xdr:row>157</xdr:row>
      <xdr:rowOff>17009</xdr:rowOff>
    </xdr:from>
    <xdr:to>
      <xdr:col>6</xdr:col>
      <xdr:colOff>1156608</xdr:colOff>
      <xdr:row>174</xdr:row>
      <xdr:rowOff>34017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EC61C07-66FD-6D88-7EAB-8F951B15BD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etso">
  <a:themeElements>
    <a:clrScheme name="Metso">
      <a:dk1>
        <a:sysClr val="windowText" lastClr="000000"/>
      </a:dk1>
      <a:lt1>
        <a:sysClr val="window" lastClr="FFFFFF"/>
      </a:lt1>
      <a:dk2>
        <a:srgbClr val="005E57"/>
      </a:dk2>
      <a:lt2>
        <a:srgbClr val="E05314"/>
      </a:lt2>
      <a:accent1>
        <a:srgbClr val="98C000"/>
      </a:accent1>
      <a:accent2>
        <a:srgbClr val="FC9000"/>
      </a:accent2>
      <a:accent3>
        <a:srgbClr val="009FA0"/>
      </a:accent3>
      <a:accent4>
        <a:srgbClr val="FFB807"/>
      </a:accent4>
      <a:accent5>
        <a:srgbClr val="C4C7DC"/>
      </a:accent5>
      <a:accent6>
        <a:srgbClr val="EDEEEF"/>
      </a:accent6>
      <a:hlink>
        <a:srgbClr val="669900"/>
      </a:hlink>
      <a:folHlink>
        <a:srgbClr val="EEAA00"/>
      </a:folHlink>
    </a:clrScheme>
    <a:fontScheme name="Metso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6350">
          <a:solidFill>
            <a:srgbClr val="000000"/>
          </a:solidFill>
        </a:ln>
      </a:spPr>
      <a:bodyPr rtlCol="0" anchor="ctr"/>
      <a:lstStyle>
        <a:defPPr algn="ctr">
          <a:defRPr dirty="0" err="1" smtClean="0">
            <a:solidFill>
              <a:srgbClr val="000000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6350">
          <a:solidFill>
            <a:srgbClr val="000000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7"/>
  <sheetViews>
    <sheetView tabSelected="1" showWhiteSpace="0" view="pageBreakPreview" topLeftCell="A144" zoomScale="112" zoomScaleNormal="100" zoomScaleSheetLayoutView="112" workbookViewId="0">
      <selection activeCell="G156" sqref="G156"/>
    </sheetView>
  </sheetViews>
  <sheetFormatPr baseColWidth="10" defaultColWidth="9" defaultRowHeight="14" x14ac:dyDescent="0.3"/>
  <cols>
    <col min="2" max="2" width="9" customWidth="1"/>
    <col min="4" max="4" width="11.08203125" customWidth="1"/>
    <col min="5" max="5" width="16.58203125" customWidth="1"/>
    <col min="6" max="6" width="14.83203125" customWidth="1"/>
    <col min="7" max="7" width="19.33203125" customWidth="1"/>
    <col min="11" max="11" width="9.58203125" bestFit="1" customWidth="1"/>
    <col min="13" max="13" width="12" bestFit="1" customWidth="1"/>
  </cols>
  <sheetData>
    <row r="1" spans="1:7" x14ac:dyDescent="0.3">
      <c r="A1" s="119"/>
      <c r="B1" s="120"/>
      <c r="C1" s="78" t="s">
        <v>0</v>
      </c>
      <c r="D1" s="79"/>
      <c r="E1" s="80"/>
      <c r="F1" s="92" t="s">
        <v>1</v>
      </c>
      <c r="G1" s="94" t="str">
        <f>A22</f>
        <v>INF-AFO-COUR-304</v>
      </c>
    </row>
    <row r="2" spans="1:7" ht="14.5" thickBot="1" x14ac:dyDescent="0.35">
      <c r="A2" s="121"/>
      <c r="B2" s="122"/>
      <c r="C2" s="81"/>
      <c r="D2" s="82"/>
      <c r="E2" s="83"/>
      <c r="F2" s="93"/>
      <c r="G2" s="95"/>
    </row>
    <row r="3" spans="1:7" x14ac:dyDescent="0.3">
      <c r="A3" s="121"/>
      <c r="B3" s="122"/>
      <c r="C3" s="81"/>
      <c r="D3" s="82"/>
      <c r="E3" s="83"/>
      <c r="F3" s="96" t="s">
        <v>2</v>
      </c>
      <c r="G3" s="96" t="s">
        <v>3</v>
      </c>
    </row>
    <row r="4" spans="1:7" ht="14.5" thickBot="1" x14ac:dyDescent="0.35">
      <c r="A4" s="123"/>
      <c r="B4" s="124"/>
      <c r="C4" s="84"/>
      <c r="D4" s="85"/>
      <c r="E4" s="86"/>
      <c r="F4" s="97"/>
      <c r="G4" s="97"/>
    </row>
    <row r="11" spans="1:7" ht="13.5" customHeight="1" x14ac:dyDescent="0.3"/>
    <row r="17" spans="1:8" ht="6" customHeight="1" x14ac:dyDescent="0.3"/>
    <row r="18" spans="1:8" ht="25" x14ac:dyDescent="0.3">
      <c r="A18" s="132" t="s">
        <v>4</v>
      </c>
      <c r="B18" s="132"/>
      <c r="C18" s="132"/>
      <c r="D18" s="132"/>
      <c r="E18" s="132"/>
      <c r="F18" s="132"/>
      <c r="G18" s="132"/>
    </row>
    <row r="19" spans="1:8" ht="25.5" customHeight="1" x14ac:dyDescent="0.3">
      <c r="A19" s="132" t="s">
        <v>5</v>
      </c>
      <c r="B19" s="132"/>
      <c r="C19" s="132"/>
      <c r="D19" s="132"/>
      <c r="E19" s="132"/>
      <c r="F19" s="132"/>
      <c r="G19" s="132"/>
    </row>
    <row r="20" spans="1:8" ht="24.65" customHeight="1" x14ac:dyDescent="0.3">
      <c r="A20" s="133">
        <v>46145</v>
      </c>
      <c r="B20" s="133"/>
      <c r="C20" s="133"/>
      <c r="D20" s="133"/>
      <c r="E20" s="133"/>
      <c r="F20" s="133"/>
      <c r="G20" s="133"/>
      <c r="H20" t="s">
        <v>6</v>
      </c>
    </row>
    <row r="21" spans="1:8" ht="24" customHeight="1" x14ac:dyDescent="0.3">
      <c r="A21" s="134" t="s">
        <v>7</v>
      </c>
      <c r="B21" s="134"/>
      <c r="C21" s="134"/>
      <c r="D21" s="134"/>
      <c r="E21" s="134"/>
      <c r="F21" s="134"/>
      <c r="G21" s="134"/>
    </row>
    <row r="22" spans="1:8" ht="33.65" customHeight="1" x14ac:dyDescent="0.3">
      <c r="A22" s="134" t="s">
        <v>78</v>
      </c>
      <c r="B22" s="134"/>
      <c r="C22" s="134"/>
      <c r="D22" s="134"/>
      <c r="E22" s="134"/>
      <c r="F22" s="134"/>
      <c r="G22" s="134"/>
      <c r="H22" t="s">
        <v>8</v>
      </c>
    </row>
    <row r="23" spans="1:8" ht="14.9" customHeight="1" x14ac:dyDescent="0.3"/>
    <row r="24" spans="1:8" ht="7" customHeight="1" x14ac:dyDescent="0.3"/>
    <row r="39" spans="1:7" ht="4.5" customHeight="1" thickBot="1" x14ac:dyDescent="0.35"/>
    <row r="40" spans="1:7" ht="13.5" customHeight="1" x14ac:dyDescent="0.3">
      <c r="A40" s="137" t="s">
        <v>9</v>
      </c>
      <c r="B40" s="138"/>
      <c r="C40" s="90" t="s">
        <v>79</v>
      </c>
      <c r="D40" s="90"/>
      <c r="E40" s="138" t="s">
        <v>10</v>
      </c>
      <c r="F40" s="129" t="s">
        <v>77</v>
      </c>
      <c r="G40" s="130"/>
    </row>
    <row r="41" spans="1:7" ht="22.5" customHeight="1" x14ac:dyDescent="0.3">
      <c r="A41" s="98"/>
      <c r="B41" s="99"/>
      <c r="C41" s="91"/>
      <c r="D41" s="91"/>
      <c r="E41" s="99"/>
      <c r="F41" s="100"/>
      <c r="G41" s="101"/>
    </row>
    <row r="42" spans="1:7" ht="13.5" customHeight="1" x14ac:dyDescent="0.3">
      <c r="A42" s="98" t="s">
        <v>11</v>
      </c>
      <c r="B42" s="99"/>
      <c r="C42" s="100" t="s">
        <v>12</v>
      </c>
      <c r="D42" s="100"/>
      <c r="E42" s="99" t="s">
        <v>10</v>
      </c>
      <c r="F42" s="100" t="s">
        <v>13</v>
      </c>
      <c r="G42" s="101"/>
    </row>
    <row r="43" spans="1:7" ht="13.5" customHeight="1" x14ac:dyDescent="0.3">
      <c r="A43" s="98"/>
      <c r="B43" s="99"/>
      <c r="C43" s="100"/>
      <c r="D43" s="100"/>
      <c r="E43" s="99"/>
      <c r="F43" s="100"/>
      <c r="G43" s="101"/>
    </row>
    <row r="44" spans="1:7" ht="13.5" customHeight="1" x14ac:dyDescent="0.3">
      <c r="A44" s="98" t="s">
        <v>14</v>
      </c>
      <c r="B44" s="99"/>
      <c r="C44" s="100" t="s">
        <v>15</v>
      </c>
      <c r="D44" s="100"/>
      <c r="E44" s="99" t="s">
        <v>10</v>
      </c>
      <c r="F44" s="100" t="s">
        <v>16</v>
      </c>
      <c r="G44" s="101"/>
    </row>
    <row r="45" spans="1:7" ht="13.5" customHeight="1" x14ac:dyDescent="0.3">
      <c r="A45" s="98"/>
      <c r="B45" s="99"/>
      <c r="C45" s="100"/>
      <c r="D45" s="100"/>
      <c r="E45" s="99"/>
      <c r="F45" s="100"/>
      <c r="G45" s="101"/>
    </row>
    <row r="46" spans="1:7" ht="13.5" customHeight="1" x14ac:dyDescent="0.3">
      <c r="A46" s="98" t="s">
        <v>17</v>
      </c>
      <c r="B46" s="99"/>
      <c r="C46" s="100" t="s">
        <v>18</v>
      </c>
      <c r="D46" s="100"/>
      <c r="E46" s="99" t="s">
        <v>19</v>
      </c>
      <c r="F46" s="100" t="s">
        <v>20</v>
      </c>
      <c r="G46" s="101"/>
    </row>
    <row r="47" spans="1:7" ht="13.5" customHeight="1" thickBot="1" x14ac:dyDescent="0.35">
      <c r="A47" s="131"/>
      <c r="B47" s="128"/>
      <c r="C47" s="136"/>
      <c r="D47" s="136"/>
      <c r="E47" s="128"/>
      <c r="F47" s="136"/>
      <c r="G47" s="139"/>
    </row>
    <row r="58" spans="1:7" ht="14.5" thickBot="1" x14ac:dyDescent="0.35"/>
    <row r="59" spans="1:7" x14ac:dyDescent="0.3">
      <c r="A59" s="119"/>
      <c r="B59" s="120"/>
      <c r="C59" s="78" t="s">
        <v>0</v>
      </c>
      <c r="D59" s="79"/>
      <c r="E59" s="80"/>
      <c r="F59" s="92" t="s">
        <v>1</v>
      </c>
      <c r="G59" s="94" t="str">
        <f>A22</f>
        <v>INF-AFO-COUR-304</v>
      </c>
    </row>
    <row r="60" spans="1:7" ht="14.5" thickBot="1" x14ac:dyDescent="0.35">
      <c r="A60" s="121"/>
      <c r="B60" s="122"/>
      <c r="C60" s="81"/>
      <c r="D60" s="82"/>
      <c r="E60" s="83"/>
      <c r="F60" s="93"/>
      <c r="G60" s="95"/>
    </row>
    <row r="61" spans="1:7" x14ac:dyDescent="0.3">
      <c r="A61" s="121"/>
      <c r="B61" s="122"/>
      <c r="C61" s="81"/>
      <c r="D61" s="82"/>
      <c r="E61" s="83"/>
      <c r="F61" s="96" t="s">
        <v>2</v>
      </c>
      <c r="G61" s="96" t="str">
        <f>G3</f>
        <v>CW2276359</v>
      </c>
    </row>
    <row r="62" spans="1:7" ht="14.5" thickBot="1" x14ac:dyDescent="0.35">
      <c r="A62" s="123"/>
      <c r="B62" s="124"/>
      <c r="C62" s="84"/>
      <c r="D62" s="85"/>
      <c r="E62" s="86"/>
      <c r="F62" s="97"/>
      <c r="G62" s="97"/>
    </row>
    <row r="63" spans="1:7" x14ac:dyDescent="0.3">
      <c r="A63" s="18"/>
      <c r="B63" s="18"/>
      <c r="C63" s="19"/>
      <c r="D63" s="19"/>
      <c r="E63" s="19"/>
      <c r="F63" s="20"/>
      <c r="G63" s="20"/>
    </row>
    <row r="64" spans="1:7" ht="20" x14ac:dyDescent="0.4">
      <c r="B64" s="116" t="s">
        <v>21</v>
      </c>
      <c r="C64" s="116"/>
      <c r="D64" s="116"/>
      <c r="E64" s="116"/>
      <c r="F64" s="116"/>
    </row>
    <row r="66" spans="1:18" ht="14.9" customHeight="1" x14ac:dyDescent="0.3">
      <c r="A66" s="140" t="s">
        <v>22</v>
      </c>
      <c r="B66" s="140"/>
      <c r="C66" s="140"/>
      <c r="D66" s="140"/>
      <c r="E66" s="140"/>
      <c r="F66" s="3"/>
      <c r="G66" s="3"/>
    </row>
    <row r="67" spans="1:18" ht="13.5" customHeight="1" x14ac:dyDescent="0.3">
      <c r="A67" s="3"/>
      <c r="B67" s="3"/>
      <c r="C67" s="3"/>
      <c r="D67" s="3"/>
      <c r="E67" s="3"/>
      <c r="F67" s="3"/>
      <c r="G67" s="3"/>
    </row>
    <row r="68" spans="1:18" ht="13.5" customHeight="1" x14ac:dyDescent="0.3">
      <c r="A68" s="73" t="s">
        <v>23</v>
      </c>
      <c r="B68" s="73"/>
      <c r="C68" s="73"/>
      <c r="D68" s="73"/>
      <c r="E68" s="73"/>
      <c r="F68" s="73"/>
      <c r="G68" s="73"/>
    </row>
    <row r="69" spans="1:18" ht="13.5" customHeight="1" thickBot="1" x14ac:dyDescent="0.35">
      <c r="A69" s="73"/>
      <c r="B69" s="73"/>
      <c r="C69" s="73"/>
      <c r="D69" s="73"/>
      <c r="E69" s="73"/>
      <c r="F69" s="73"/>
      <c r="G69" s="73"/>
    </row>
    <row r="70" spans="1:18" ht="14.5" thickBot="1" x14ac:dyDescent="0.35">
      <c r="A70" s="57" t="s">
        <v>24</v>
      </c>
      <c r="B70" s="58"/>
      <c r="C70" s="58"/>
      <c r="D70" s="58"/>
      <c r="E70" s="58"/>
      <c r="F70" s="58"/>
      <c r="G70" s="59"/>
    </row>
    <row r="71" spans="1:18" x14ac:dyDescent="0.3">
      <c r="A71" s="75" t="s">
        <v>25</v>
      </c>
      <c r="B71" s="76"/>
      <c r="C71" s="76"/>
      <c r="D71" s="77"/>
      <c r="E71" s="1" t="s">
        <v>26</v>
      </c>
      <c r="F71" s="1" t="s">
        <v>27</v>
      </c>
      <c r="G71" s="6" t="s">
        <v>28</v>
      </c>
    </row>
    <row r="72" spans="1:18" x14ac:dyDescent="0.3">
      <c r="A72" s="31" t="s">
        <v>29</v>
      </c>
      <c r="B72" s="32"/>
      <c r="C72" s="32"/>
      <c r="D72" s="74"/>
      <c r="E72" s="10">
        <v>6</v>
      </c>
      <c r="F72" s="10">
        <v>6</v>
      </c>
      <c r="G72" s="12">
        <v>6</v>
      </c>
      <c r="H72" t="s">
        <v>30</v>
      </c>
      <c r="P72" s="29"/>
      <c r="Q72" s="29"/>
      <c r="R72" s="29"/>
    </row>
    <row r="73" spans="1:18" x14ac:dyDescent="0.3">
      <c r="A73" s="31" t="s">
        <v>31</v>
      </c>
      <c r="B73" s="32"/>
      <c r="C73" s="32"/>
      <c r="D73" s="74"/>
      <c r="E73" s="10">
        <v>15</v>
      </c>
      <c r="F73" s="10">
        <v>15</v>
      </c>
      <c r="G73" s="12">
        <v>15</v>
      </c>
      <c r="H73" t="s">
        <v>30</v>
      </c>
      <c r="K73" s="18" t="s">
        <v>26</v>
      </c>
      <c r="L73" t="s">
        <v>27</v>
      </c>
      <c r="M73" t="s">
        <v>28</v>
      </c>
      <c r="P73" s="29"/>
      <c r="Q73" s="29"/>
      <c r="R73" s="29"/>
    </row>
    <row r="74" spans="1:18" x14ac:dyDescent="0.3">
      <c r="A74" s="31" t="s">
        <v>32</v>
      </c>
      <c r="B74" s="32"/>
      <c r="C74" s="32"/>
      <c r="D74" s="74"/>
      <c r="E74" s="10">
        <v>3</v>
      </c>
      <c r="F74" s="10">
        <v>3</v>
      </c>
      <c r="G74" s="12">
        <v>3</v>
      </c>
      <c r="H74" t="s">
        <v>30</v>
      </c>
      <c r="K74">
        <v>260</v>
      </c>
      <c r="L74">
        <v>230</v>
      </c>
      <c r="M74">
        <v>170</v>
      </c>
      <c r="P74" s="29"/>
      <c r="Q74" s="29"/>
      <c r="R74" s="29"/>
    </row>
    <row r="75" spans="1:18" x14ac:dyDescent="0.3">
      <c r="A75" s="87" t="s">
        <v>33</v>
      </c>
      <c r="B75" s="88"/>
      <c r="C75" s="88"/>
      <c r="D75" s="89"/>
      <c r="E75" s="15">
        <f>((60/E73)*6)*E74</f>
        <v>72</v>
      </c>
      <c r="F75" s="15">
        <f>((60/F73)*6)*F74</f>
        <v>72</v>
      </c>
      <c r="G75" s="16">
        <f>((60/G73)*6)*G74</f>
        <v>72</v>
      </c>
      <c r="K75">
        <v>260</v>
      </c>
      <c r="L75">
        <v>210</v>
      </c>
      <c r="M75">
        <v>180</v>
      </c>
      <c r="P75" s="29"/>
      <c r="Q75" s="29"/>
      <c r="R75" s="29"/>
    </row>
    <row r="76" spans="1:18" x14ac:dyDescent="0.3">
      <c r="A76" s="33" t="s">
        <v>34</v>
      </c>
      <c r="B76" s="34"/>
      <c r="C76" s="34"/>
      <c r="D76" s="35"/>
      <c r="E76" s="26">
        <f>ROUND(K77,-1)</f>
        <v>260</v>
      </c>
      <c r="F76" s="26">
        <f>ROUND(L77,-1)</f>
        <v>220</v>
      </c>
      <c r="G76" s="27">
        <f>ROUND(M77,-1)</f>
        <v>180</v>
      </c>
      <c r="H76" t="s">
        <v>35</v>
      </c>
      <c r="K76">
        <v>250</v>
      </c>
      <c r="L76">
        <v>220</v>
      </c>
      <c r="M76">
        <v>200</v>
      </c>
      <c r="P76" s="29"/>
      <c r="Q76" s="29"/>
      <c r="R76" s="29"/>
    </row>
    <row r="77" spans="1:18" x14ac:dyDescent="0.3">
      <c r="A77" s="33" t="s">
        <v>36</v>
      </c>
      <c r="B77" s="34"/>
      <c r="C77" s="34"/>
      <c r="D77" s="35"/>
      <c r="E77" s="26">
        <f>(E76*60)/E73</f>
        <v>1040</v>
      </c>
      <c r="F77" s="26">
        <f>F76*60/F73</f>
        <v>880</v>
      </c>
      <c r="G77" s="27">
        <f>G76*60/G73</f>
        <v>720</v>
      </c>
      <c r="K77" s="25">
        <f>AVERAGE(K74:K76)</f>
        <v>256.66666666666669</v>
      </c>
      <c r="L77" s="25">
        <f>AVERAGE(L74:L76)</f>
        <v>220</v>
      </c>
      <c r="M77" s="25">
        <f>AVERAGE(M74:M76)</f>
        <v>183.33333333333334</v>
      </c>
      <c r="O77" s="25"/>
      <c r="P77" s="30"/>
      <c r="Q77" s="29"/>
      <c r="R77" s="29"/>
    </row>
    <row r="78" spans="1:18" x14ac:dyDescent="0.3">
      <c r="A78" s="33" t="s">
        <v>37</v>
      </c>
      <c r="B78" s="34"/>
      <c r="C78" s="34"/>
      <c r="D78" s="35"/>
      <c r="E78" s="10">
        <f>E77*E72</f>
        <v>6240</v>
      </c>
      <c r="F78" s="10">
        <f>F77*F72</f>
        <v>5280</v>
      </c>
      <c r="G78" s="12">
        <f>G77*G72</f>
        <v>4320</v>
      </c>
      <c r="P78" s="29"/>
      <c r="Q78" s="29"/>
      <c r="R78" s="29"/>
    </row>
    <row r="79" spans="1:18" ht="14.5" thickBot="1" x14ac:dyDescent="0.35">
      <c r="A79" s="39" t="s">
        <v>38</v>
      </c>
      <c r="B79" s="40"/>
      <c r="C79" s="40"/>
      <c r="D79" s="41"/>
      <c r="E79" s="13" t="s">
        <v>39</v>
      </c>
      <c r="F79" s="13" t="s">
        <v>39</v>
      </c>
      <c r="G79" s="14" t="s">
        <v>39</v>
      </c>
      <c r="I79" s="28" t="s">
        <v>40</v>
      </c>
      <c r="K79">
        <f>AVERAGE(K74:K76)</f>
        <v>256.66666666666669</v>
      </c>
      <c r="L79">
        <f>AVERAGE(L74:L76)</f>
        <v>220</v>
      </c>
      <c r="M79">
        <f>AVERAGE(M74:M76)</f>
        <v>183.33333333333334</v>
      </c>
      <c r="P79" s="29"/>
      <c r="Q79" s="29"/>
      <c r="R79" s="29"/>
    </row>
    <row r="80" spans="1:18" ht="14.5" thickBot="1" x14ac:dyDescent="0.35">
      <c r="A80" s="46" t="s">
        <v>41</v>
      </c>
      <c r="B80" s="47"/>
      <c r="C80" s="47"/>
      <c r="D80" s="47"/>
      <c r="E80" s="47"/>
      <c r="F80" s="47"/>
      <c r="G80" s="48"/>
      <c r="P80" s="29"/>
      <c r="Q80" s="29"/>
      <c r="R80" s="29"/>
    </row>
    <row r="81" spans="1:18" x14ac:dyDescent="0.3">
      <c r="A81" s="36" t="s">
        <v>42</v>
      </c>
      <c r="B81" s="37"/>
      <c r="C81" s="37"/>
      <c r="D81" s="38"/>
      <c r="E81" s="21">
        <v>219</v>
      </c>
      <c r="F81" s="22">
        <v>214</v>
      </c>
      <c r="G81" s="21">
        <v>189</v>
      </c>
      <c r="H81" t="s">
        <v>43</v>
      </c>
      <c r="P81" s="29"/>
      <c r="Q81" s="29"/>
      <c r="R81" s="29"/>
    </row>
    <row r="82" spans="1:18" ht="14.5" thickBot="1" x14ac:dyDescent="0.35">
      <c r="A82" s="39" t="s">
        <v>44</v>
      </c>
      <c r="B82" s="40"/>
      <c r="C82" s="40"/>
      <c r="D82" s="41"/>
      <c r="E82" s="23">
        <v>2004</v>
      </c>
      <c r="F82" s="24">
        <v>2130</v>
      </c>
      <c r="G82" s="23">
        <v>2008</v>
      </c>
      <c r="H82" t="s">
        <v>43</v>
      </c>
      <c r="P82" s="29"/>
      <c r="Q82" s="29"/>
      <c r="R82" s="29"/>
    </row>
    <row r="83" spans="1:18" ht="14.5" thickBot="1" x14ac:dyDescent="0.35">
      <c r="A83" s="39" t="s">
        <v>45</v>
      </c>
      <c r="B83" s="40"/>
      <c r="C83" s="40"/>
      <c r="D83" s="41"/>
      <c r="E83" s="23">
        <v>1936</v>
      </c>
      <c r="F83" s="24">
        <v>2092</v>
      </c>
      <c r="G83" s="23">
        <v>1977</v>
      </c>
      <c r="H83" t="s">
        <v>46</v>
      </c>
      <c r="P83" s="29"/>
    </row>
    <row r="84" spans="1:18" x14ac:dyDescent="0.3">
      <c r="P84" s="29"/>
    </row>
    <row r="85" spans="1:18" ht="15" x14ac:dyDescent="0.3">
      <c r="A85" s="5" t="s">
        <v>47</v>
      </c>
    </row>
    <row r="86" spans="1:18" ht="15" x14ac:dyDescent="0.3">
      <c r="A86" s="5"/>
    </row>
    <row r="87" spans="1:18" x14ac:dyDescent="0.3">
      <c r="A87" s="73" t="s">
        <v>23</v>
      </c>
      <c r="B87" s="73"/>
      <c r="C87" s="73"/>
      <c r="D87" s="73"/>
      <c r="E87" s="73"/>
      <c r="F87" s="73"/>
      <c r="G87" s="73"/>
    </row>
    <row r="88" spans="1:18" ht="18" thickBot="1" x14ac:dyDescent="0.4">
      <c r="A88" s="73"/>
      <c r="B88" s="73"/>
      <c r="C88" s="73"/>
      <c r="D88" s="73"/>
      <c r="E88" s="73"/>
      <c r="F88" s="73"/>
      <c r="G88" s="73"/>
      <c r="H88" s="4"/>
    </row>
    <row r="89" spans="1:18" ht="14.25" customHeight="1" thickBot="1" x14ac:dyDescent="0.35">
      <c r="A89" s="57" t="s">
        <v>48</v>
      </c>
      <c r="B89" s="58"/>
      <c r="C89" s="58"/>
      <c r="D89" s="58"/>
      <c r="E89" s="58"/>
      <c r="F89" s="59"/>
      <c r="H89" t="s">
        <v>49</v>
      </c>
    </row>
    <row r="90" spans="1:18" x14ac:dyDescent="0.3">
      <c r="A90" s="60" t="s">
        <v>25</v>
      </c>
      <c r="B90" s="61"/>
      <c r="C90" s="61"/>
      <c r="D90" s="61"/>
      <c r="E90" s="62" t="s">
        <v>50</v>
      </c>
      <c r="F90" s="63"/>
    </row>
    <row r="91" spans="1:18" x14ac:dyDescent="0.3">
      <c r="A91" s="31" t="s">
        <v>29</v>
      </c>
      <c r="B91" s="32"/>
      <c r="C91" s="32"/>
      <c r="D91" s="32"/>
      <c r="E91" s="49">
        <v>6</v>
      </c>
      <c r="F91" s="50"/>
      <c r="H91" t="s">
        <v>30</v>
      </c>
    </row>
    <row r="92" spans="1:18" x14ac:dyDescent="0.3">
      <c r="A92" s="31" t="s">
        <v>31</v>
      </c>
      <c r="B92" s="32"/>
      <c r="C92" s="32"/>
      <c r="D92" s="32"/>
      <c r="E92" s="49">
        <v>15</v>
      </c>
      <c r="F92" s="50"/>
      <c r="H92" t="s">
        <v>30</v>
      </c>
    </row>
    <row r="93" spans="1:18" x14ac:dyDescent="0.3">
      <c r="A93" s="31" t="s">
        <v>32</v>
      </c>
      <c r="B93" s="32"/>
      <c r="C93" s="32"/>
      <c r="D93" s="32"/>
      <c r="E93" s="49">
        <v>4</v>
      </c>
      <c r="F93" s="50"/>
      <c r="H93" t="s">
        <v>30</v>
      </c>
    </row>
    <row r="94" spans="1:18" x14ac:dyDescent="0.3">
      <c r="A94" s="87" t="s">
        <v>33</v>
      </c>
      <c r="B94" s="88"/>
      <c r="C94" s="88"/>
      <c r="D94" s="89"/>
      <c r="E94" s="51">
        <f>((60/15)*E93)*E91</f>
        <v>96</v>
      </c>
      <c r="F94" s="52">
        <f t="shared" ref="F94" si="0">((60/15)*F93)*F91</f>
        <v>0</v>
      </c>
    </row>
    <row r="95" spans="1:18" x14ac:dyDescent="0.3">
      <c r="A95" s="33" t="s">
        <v>34</v>
      </c>
      <c r="B95" s="34"/>
      <c r="C95" s="34"/>
      <c r="D95" s="35"/>
      <c r="E95" s="105">
        <f>ROUND(K98,-1)</f>
        <v>180</v>
      </c>
      <c r="F95" s="50">
        <f>ROUND(L96,-1)</f>
        <v>0</v>
      </c>
      <c r="H95" t="s">
        <v>35</v>
      </c>
      <c r="K95">
        <v>180</v>
      </c>
    </row>
    <row r="96" spans="1:18" x14ac:dyDescent="0.3">
      <c r="A96" s="33" t="s">
        <v>36</v>
      </c>
      <c r="B96" s="34"/>
      <c r="C96" s="34"/>
      <c r="D96" s="35"/>
      <c r="E96" s="105">
        <f>E95*60/E92</f>
        <v>720</v>
      </c>
      <c r="F96" s="135"/>
      <c r="K96">
        <v>190</v>
      </c>
    </row>
    <row r="97" spans="1:13" x14ac:dyDescent="0.3">
      <c r="A97" s="33" t="s">
        <v>37</v>
      </c>
      <c r="B97" s="34"/>
      <c r="C97" s="34"/>
      <c r="D97" s="35"/>
      <c r="E97" s="49">
        <f>E96*E91</f>
        <v>4320</v>
      </c>
      <c r="F97" s="50"/>
      <c r="K97">
        <v>170</v>
      </c>
    </row>
    <row r="98" spans="1:13" ht="14.5" thickBot="1" x14ac:dyDescent="0.35">
      <c r="A98" s="39" t="s">
        <v>38</v>
      </c>
      <c r="B98" s="40"/>
      <c r="C98" s="40"/>
      <c r="D98" s="41"/>
      <c r="E98" s="103" t="s">
        <v>51</v>
      </c>
      <c r="F98" s="104"/>
      <c r="K98" s="25">
        <f>AVERAGE(K95:K97)</f>
        <v>180</v>
      </c>
    </row>
    <row r="99" spans="1:13" ht="14.5" thickBot="1" x14ac:dyDescent="0.35">
      <c r="A99" s="42" t="s">
        <v>52</v>
      </c>
      <c r="B99" s="43"/>
      <c r="C99" s="43"/>
      <c r="D99" s="43"/>
      <c r="E99" s="44"/>
      <c r="F99" s="45"/>
      <c r="M99">
        <f>AVERAGE(K95:K97)</f>
        <v>180</v>
      </c>
    </row>
    <row r="100" spans="1:13" ht="14.5" thickBot="1" x14ac:dyDescent="0.35">
      <c r="A100" s="36" t="s">
        <v>42</v>
      </c>
      <c r="B100" s="37"/>
      <c r="C100" s="37"/>
      <c r="D100" s="38"/>
      <c r="E100" s="69">
        <v>103</v>
      </c>
      <c r="F100" s="70"/>
      <c r="H100" t="s">
        <v>43</v>
      </c>
    </row>
    <row r="101" spans="1:13" ht="14.5" thickBot="1" x14ac:dyDescent="0.35">
      <c r="A101" s="39" t="s">
        <v>53</v>
      </c>
      <c r="B101" s="40"/>
      <c r="C101" s="40"/>
      <c r="D101" s="41"/>
      <c r="E101" s="71">
        <v>6</v>
      </c>
      <c r="F101" s="72"/>
      <c r="H101" t="s">
        <v>43</v>
      </c>
    </row>
    <row r="103" spans="1:13" x14ac:dyDescent="0.3">
      <c r="A103" s="141" t="s">
        <v>54</v>
      </c>
      <c r="B103" s="141"/>
      <c r="C103" s="141"/>
      <c r="D103" s="141"/>
      <c r="E103" s="141"/>
      <c r="F103" s="141"/>
      <c r="G103" s="141"/>
    </row>
    <row r="104" spans="1:13" ht="14.5" thickBot="1" x14ac:dyDescent="0.35">
      <c r="A104" s="7"/>
      <c r="B104" s="7"/>
      <c r="C104" s="7"/>
      <c r="D104" s="7"/>
      <c r="E104" s="7"/>
      <c r="F104" s="7"/>
      <c r="G104" s="7"/>
    </row>
    <row r="105" spans="1:13" x14ac:dyDescent="0.3">
      <c r="A105" s="125" t="s">
        <v>55</v>
      </c>
      <c r="B105" s="126"/>
      <c r="C105" s="126"/>
      <c r="D105" s="126"/>
      <c r="E105" s="126"/>
      <c r="F105" s="127"/>
      <c r="H105" t="s">
        <v>56</v>
      </c>
    </row>
    <row r="106" spans="1:13" x14ac:dyDescent="0.3">
      <c r="A106" s="55" t="s">
        <v>25</v>
      </c>
      <c r="B106" s="56"/>
      <c r="C106" s="56"/>
      <c r="D106" s="56"/>
      <c r="E106" s="49" t="s">
        <v>57</v>
      </c>
      <c r="F106" s="50"/>
    </row>
    <row r="107" spans="1:13" x14ac:dyDescent="0.3">
      <c r="A107" s="55" t="s">
        <v>29</v>
      </c>
      <c r="B107" s="56"/>
      <c r="C107" s="56"/>
      <c r="D107" s="56"/>
      <c r="E107" s="49">
        <v>24</v>
      </c>
      <c r="F107" s="50"/>
      <c r="H107" t="s">
        <v>30</v>
      </c>
    </row>
    <row r="108" spans="1:13" x14ac:dyDescent="0.3">
      <c r="A108" s="55" t="s">
        <v>31</v>
      </c>
      <c r="B108" s="56"/>
      <c r="C108" s="56"/>
      <c r="D108" s="56"/>
      <c r="E108" s="49">
        <v>15</v>
      </c>
      <c r="F108" s="50"/>
      <c r="H108" t="s">
        <v>30</v>
      </c>
      <c r="M108">
        <v>100</v>
      </c>
    </row>
    <row r="109" spans="1:13" x14ac:dyDescent="0.3">
      <c r="A109" s="55" t="s">
        <v>32</v>
      </c>
      <c r="B109" s="56"/>
      <c r="C109" s="56"/>
      <c r="D109" s="56"/>
      <c r="E109" s="49">
        <v>4</v>
      </c>
      <c r="F109" s="50"/>
      <c r="H109" t="s">
        <v>30</v>
      </c>
      <c r="M109">
        <v>120</v>
      </c>
    </row>
    <row r="110" spans="1:13" x14ac:dyDescent="0.3">
      <c r="A110" s="53" t="s">
        <v>33</v>
      </c>
      <c r="B110" s="54"/>
      <c r="C110" s="54"/>
      <c r="D110" s="54"/>
      <c r="E110" s="51">
        <f>((60/E108)*E109)*E107</f>
        <v>384</v>
      </c>
      <c r="F110" s="52" t="e">
        <f>60/F108*F109*F107</f>
        <v>#DIV/0!</v>
      </c>
      <c r="M110">
        <v>110</v>
      </c>
    </row>
    <row r="111" spans="1:13" x14ac:dyDescent="0.3">
      <c r="A111" s="55" t="s">
        <v>34</v>
      </c>
      <c r="B111" s="56"/>
      <c r="C111" s="56"/>
      <c r="D111" s="56"/>
      <c r="E111" s="105">
        <f>ROUND(M111,-1)</f>
        <v>110</v>
      </c>
      <c r="F111" s="50">
        <f>ROUND(L112,-1)</f>
        <v>0</v>
      </c>
      <c r="H111" t="s">
        <v>35</v>
      </c>
      <c r="M111" s="25">
        <f>(M108+M109+M110)/3</f>
        <v>110</v>
      </c>
    </row>
    <row r="112" spans="1:13" x14ac:dyDescent="0.3">
      <c r="A112" s="55" t="s">
        <v>36</v>
      </c>
      <c r="B112" s="56"/>
      <c r="C112" s="56"/>
      <c r="D112" s="56"/>
      <c r="E112" s="105">
        <f>E111*60/E108</f>
        <v>440</v>
      </c>
      <c r="F112" s="135"/>
    </row>
    <row r="113" spans="1:8" x14ac:dyDescent="0.3">
      <c r="A113" s="55" t="s">
        <v>37</v>
      </c>
      <c r="B113" s="56"/>
      <c r="C113" s="56"/>
      <c r="D113" s="56"/>
      <c r="E113" s="49">
        <f>E112*E107</f>
        <v>10560</v>
      </c>
      <c r="F113" s="50"/>
    </row>
    <row r="114" spans="1:8" x14ac:dyDescent="0.3">
      <c r="A114" s="55" t="s">
        <v>38</v>
      </c>
      <c r="B114" s="56"/>
      <c r="C114" s="56"/>
      <c r="D114" s="56"/>
      <c r="E114" s="49" t="s">
        <v>58</v>
      </c>
      <c r="F114" s="50"/>
    </row>
    <row r="115" spans="1:8" ht="14.5" thickBot="1" x14ac:dyDescent="0.35">
      <c r="A115" s="64" t="s">
        <v>52</v>
      </c>
      <c r="B115" s="65"/>
      <c r="C115" s="65"/>
      <c r="D115" s="65"/>
      <c r="E115" s="65"/>
      <c r="F115" s="66"/>
    </row>
    <row r="116" spans="1:8" ht="14.5" thickBot="1" x14ac:dyDescent="0.35">
      <c r="A116" s="55" t="s">
        <v>42</v>
      </c>
      <c r="B116" s="56"/>
      <c r="C116" s="56"/>
      <c r="D116" s="56"/>
      <c r="E116" s="69">
        <v>103</v>
      </c>
      <c r="F116" s="70"/>
      <c r="H116" t="s">
        <v>43</v>
      </c>
    </row>
    <row r="117" spans="1:8" ht="14.5" thickBot="1" x14ac:dyDescent="0.35">
      <c r="A117" s="67" t="s">
        <v>53</v>
      </c>
      <c r="B117" s="68"/>
      <c r="C117" s="68"/>
      <c r="D117" s="68"/>
      <c r="E117" s="71">
        <v>6</v>
      </c>
      <c r="F117" s="72"/>
      <c r="H117" t="s">
        <v>43</v>
      </c>
    </row>
    <row r="118" spans="1:8" ht="14.5" thickBot="1" x14ac:dyDescent="0.35"/>
    <row r="119" spans="1:8" x14ac:dyDescent="0.3">
      <c r="A119" s="119"/>
      <c r="B119" s="120"/>
      <c r="C119" s="78" t="s">
        <v>0</v>
      </c>
      <c r="D119" s="79"/>
      <c r="E119" s="80"/>
      <c r="F119" s="92" t="s">
        <v>1</v>
      </c>
      <c r="G119" s="94" t="str">
        <f>A22</f>
        <v>INF-AFO-COUR-304</v>
      </c>
    </row>
    <row r="120" spans="1:8" ht="14.5" thickBot="1" x14ac:dyDescent="0.35">
      <c r="A120" s="121"/>
      <c r="B120" s="122"/>
      <c r="C120" s="81"/>
      <c r="D120" s="82"/>
      <c r="E120" s="83"/>
      <c r="F120" s="93"/>
      <c r="G120" s="95"/>
    </row>
    <row r="121" spans="1:8" x14ac:dyDescent="0.3">
      <c r="A121" s="121"/>
      <c r="B121" s="122"/>
      <c r="C121" s="81"/>
      <c r="D121" s="82"/>
      <c r="E121" s="83"/>
      <c r="F121" s="92" t="s">
        <v>2</v>
      </c>
      <c r="G121" s="96" t="str">
        <f>G3</f>
        <v>CW2276359</v>
      </c>
    </row>
    <row r="122" spans="1:8" ht="14.5" thickBot="1" x14ac:dyDescent="0.35">
      <c r="A122" s="123"/>
      <c r="B122" s="124"/>
      <c r="C122" s="84"/>
      <c r="D122" s="85"/>
      <c r="E122" s="86"/>
      <c r="F122" s="93"/>
      <c r="G122" s="97"/>
    </row>
    <row r="124" spans="1:8" ht="15" x14ac:dyDescent="0.3">
      <c r="A124" s="5" t="s">
        <v>59</v>
      </c>
    </row>
    <row r="125" spans="1:8" ht="15" x14ac:dyDescent="0.3">
      <c r="A125" s="5"/>
    </row>
    <row r="126" spans="1:8" x14ac:dyDescent="0.3">
      <c r="A126" s="73" t="s">
        <v>60</v>
      </c>
      <c r="B126" s="73"/>
      <c r="C126" s="73"/>
      <c r="D126" s="73"/>
      <c r="E126" s="73"/>
      <c r="F126" s="73"/>
      <c r="G126" s="73"/>
    </row>
    <row r="127" spans="1:8" ht="17.5" x14ac:dyDescent="0.35">
      <c r="A127" s="73"/>
      <c r="B127" s="73"/>
      <c r="C127" s="73"/>
      <c r="D127" s="73"/>
      <c r="E127" s="73"/>
      <c r="F127" s="73"/>
      <c r="G127" s="73"/>
      <c r="H127" s="4"/>
    </row>
    <row r="128" spans="1:8" ht="18" thickBot="1" x14ac:dyDescent="0.4">
      <c r="A128" s="2"/>
      <c r="B128" s="2"/>
      <c r="C128" s="2"/>
      <c r="D128" s="2"/>
      <c r="E128" s="2"/>
      <c r="F128" s="2"/>
      <c r="G128" s="2"/>
      <c r="H128" s="4"/>
    </row>
    <row r="129" spans="1:13" ht="14.5" thickBot="1" x14ac:dyDescent="0.35">
      <c r="A129" s="57" t="s">
        <v>61</v>
      </c>
      <c r="B129" s="58"/>
      <c r="C129" s="58"/>
      <c r="D129" s="58"/>
      <c r="E129" s="58"/>
      <c r="F129" s="59"/>
    </row>
    <row r="130" spans="1:13" x14ac:dyDescent="0.3">
      <c r="A130" s="60" t="s">
        <v>25</v>
      </c>
      <c r="B130" s="61"/>
      <c r="C130" s="61"/>
      <c r="D130" s="61"/>
      <c r="E130" s="62" t="s">
        <v>62</v>
      </c>
      <c r="F130" s="63"/>
    </row>
    <row r="131" spans="1:13" x14ac:dyDescent="0.3">
      <c r="A131" s="31" t="s">
        <v>29</v>
      </c>
      <c r="B131" s="32"/>
      <c r="C131" s="32"/>
      <c r="D131" s="32"/>
      <c r="E131" s="49">
        <v>6</v>
      </c>
      <c r="F131" s="50"/>
      <c r="H131" t="s">
        <v>30</v>
      </c>
    </row>
    <row r="132" spans="1:13" x14ac:dyDescent="0.3">
      <c r="A132" s="31" t="s">
        <v>31</v>
      </c>
      <c r="B132" s="32"/>
      <c r="C132" s="32"/>
      <c r="D132" s="32"/>
      <c r="E132" s="49">
        <v>20</v>
      </c>
      <c r="F132" s="50"/>
      <c r="H132" t="s">
        <v>30</v>
      </c>
      <c r="L132">
        <v>210</v>
      </c>
    </row>
    <row r="133" spans="1:13" x14ac:dyDescent="0.3">
      <c r="A133" s="31" t="s">
        <v>63</v>
      </c>
      <c r="B133" s="32"/>
      <c r="C133" s="32"/>
      <c r="D133" s="32"/>
      <c r="E133" s="49">
        <v>30</v>
      </c>
      <c r="F133" s="50"/>
      <c r="H133" t="s">
        <v>30</v>
      </c>
      <c r="L133">
        <v>180</v>
      </c>
    </row>
    <row r="134" spans="1:13" x14ac:dyDescent="0.3">
      <c r="A134" s="31" t="s">
        <v>64</v>
      </c>
      <c r="B134" s="32"/>
      <c r="C134" s="32"/>
      <c r="D134" s="32"/>
      <c r="E134" s="49">
        <v>1</v>
      </c>
      <c r="F134" s="50"/>
      <c r="L134">
        <v>200</v>
      </c>
    </row>
    <row r="135" spans="1:13" x14ac:dyDescent="0.3">
      <c r="A135" s="87" t="s">
        <v>33</v>
      </c>
      <c r="B135" s="88"/>
      <c r="C135" s="88"/>
      <c r="D135" s="89"/>
      <c r="E135" s="51">
        <f>60/E132*E133*E131</f>
        <v>540</v>
      </c>
      <c r="F135" s="52" t="e">
        <f>60/F133*F134*F132</f>
        <v>#DIV/0!</v>
      </c>
      <c r="L135" s="25">
        <f>AVERAGE(L132:L134)</f>
        <v>196.66666666666666</v>
      </c>
    </row>
    <row r="136" spans="1:13" x14ac:dyDescent="0.3">
      <c r="A136" s="33" t="s">
        <v>34</v>
      </c>
      <c r="B136" s="34"/>
      <c r="C136" s="34"/>
      <c r="D136" s="35"/>
      <c r="E136" s="105">
        <f>ROUND(L135,-1)</f>
        <v>200</v>
      </c>
      <c r="F136" s="50">
        <f>ROUND(L137,-1)</f>
        <v>0</v>
      </c>
      <c r="H136" t="s">
        <v>35</v>
      </c>
    </row>
    <row r="137" spans="1:13" x14ac:dyDescent="0.3">
      <c r="A137" s="33" t="s">
        <v>36</v>
      </c>
      <c r="B137" s="34"/>
      <c r="C137" s="34"/>
      <c r="D137" s="35"/>
      <c r="E137" s="49">
        <f>E136*60/E132</f>
        <v>600</v>
      </c>
      <c r="F137" s="50"/>
    </row>
    <row r="138" spans="1:13" x14ac:dyDescent="0.3">
      <c r="A138" s="33" t="s">
        <v>37</v>
      </c>
      <c r="B138" s="34"/>
      <c r="C138" s="34"/>
      <c r="D138" s="35"/>
      <c r="E138" s="49">
        <f>E137*E131</f>
        <v>3600</v>
      </c>
      <c r="F138" s="50"/>
    </row>
    <row r="139" spans="1:13" ht="14.5" thickBot="1" x14ac:dyDescent="0.35">
      <c r="A139" s="39" t="s">
        <v>38</v>
      </c>
      <c r="B139" s="40"/>
      <c r="C139" s="40"/>
      <c r="D139" s="41"/>
      <c r="E139" s="103" t="s">
        <v>65</v>
      </c>
      <c r="F139" s="104"/>
    </row>
    <row r="140" spans="1:13" ht="14.5" thickBot="1" x14ac:dyDescent="0.35">
      <c r="A140" s="42" t="s">
        <v>66</v>
      </c>
      <c r="B140" s="43"/>
      <c r="C140" s="43"/>
      <c r="D140" s="43"/>
      <c r="E140" s="44"/>
      <c r="F140" s="45"/>
      <c r="M140">
        <v>1805</v>
      </c>
    </row>
    <row r="141" spans="1:13" ht="14.5" thickBot="1" x14ac:dyDescent="0.35">
      <c r="A141" s="39" t="s">
        <v>67</v>
      </c>
      <c r="B141" s="40"/>
      <c r="C141" s="40"/>
      <c r="D141" s="41"/>
      <c r="E141" s="69">
        <f>M143</f>
        <v>4777</v>
      </c>
      <c r="F141" s="70"/>
      <c r="H141" t="s">
        <v>43</v>
      </c>
      <c r="M141">
        <v>1191</v>
      </c>
    </row>
    <row r="142" spans="1:13" ht="14.5" thickBot="1" x14ac:dyDescent="0.35">
      <c r="A142" s="113" t="s">
        <v>38</v>
      </c>
      <c r="B142" s="114"/>
      <c r="C142" s="114"/>
      <c r="D142" s="115"/>
      <c r="E142" s="117" t="s">
        <v>68</v>
      </c>
      <c r="F142" s="118"/>
      <c r="H142" t="s">
        <v>43</v>
      </c>
      <c r="M142">
        <v>1781</v>
      </c>
    </row>
    <row r="143" spans="1:13" x14ac:dyDescent="0.3">
      <c r="M143">
        <f>SUM(M140:M142)</f>
        <v>4777</v>
      </c>
    </row>
    <row r="147" spans="2:6" ht="20" x14ac:dyDescent="0.4">
      <c r="B147" s="116" t="s">
        <v>69</v>
      </c>
      <c r="C147" s="116"/>
      <c r="D147" s="116"/>
      <c r="E147" s="116"/>
      <c r="F147" s="116"/>
    </row>
    <row r="150" spans="2:6" ht="14.5" thickBot="1" x14ac:dyDescent="0.35"/>
    <row r="151" spans="2:6" ht="14.5" thickBot="1" x14ac:dyDescent="0.35">
      <c r="C151" s="107" t="s">
        <v>70</v>
      </c>
      <c r="D151" s="108"/>
      <c r="E151" s="109"/>
      <c r="F151" s="8" t="s">
        <v>71</v>
      </c>
    </row>
    <row r="152" spans="2:6" x14ac:dyDescent="0.3">
      <c r="C152" s="110" t="s">
        <v>72</v>
      </c>
      <c r="D152" s="111"/>
      <c r="E152" s="112"/>
      <c r="F152" s="9">
        <f>E78/1000</f>
        <v>6.24</v>
      </c>
    </row>
    <row r="153" spans="2:6" x14ac:dyDescent="0.3">
      <c r="C153" s="55" t="s">
        <v>73</v>
      </c>
      <c r="D153" s="56"/>
      <c r="E153" s="106"/>
      <c r="F153" s="10">
        <f>F78/1000</f>
        <v>5.28</v>
      </c>
    </row>
    <row r="154" spans="2:6" x14ac:dyDescent="0.3">
      <c r="C154" s="55" t="s">
        <v>74</v>
      </c>
      <c r="D154" s="56"/>
      <c r="E154" s="106"/>
      <c r="F154" s="11">
        <f>G78/1000</f>
        <v>4.32</v>
      </c>
    </row>
    <row r="155" spans="2:6" x14ac:dyDescent="0.3">
      <c r="C155" s="55" t="s">
        <v>75</v>
      </c>
      <c r="D155" s="56"/>
      <c r="E155" s="106"/>
      <c r="F155" s="11">
        <f>E97/1000</f>
        <v>4.32</v>
      </c>
    </row>
    <row r="156" spans="2:6" x14ac:dyDescent="0.3">
      <c r="C156" s="55" t="s">
        <v>76</v>
      </c>
      <c r="D156" s="56"/>
      <c r="E156" s="106"/>
      <c r="F156" s="11">
        <f>E113/1000</f>
        <v>10.56</v>
      </c>
    </row>
    <row r="157" spans="2:6" ht="14.5" thickBot="1" x14ac:dyDescent="0.35">
      <c r="C157" s="67" t="s">
        <v>62</v>
      </c>
      <c r="D157" s="68"/>
      <c r="E157" s="102"/>
      <c r="F157" s="17">
        <f>E138/1000</f>
        <v>3.6</v>
      </c>
    </row>
  </sheetData>
  <mergeCells count="141">
    <mergeCell ref="E109:F109"/>
    <mergeCell ref="E110:F110"/>
    <mergeCell ref="E111:F111"/>
    <mergeCell ref="E112:F112"/>
    <mergeCell ref="C42:D43"/>
    <mergeCell ref="C44:D45"/>
    <mergeCell ref="C46:D47"/>
    <mergeCell ref="A40:B41"/>
    <mergeCell ref="E90:F90"/>
    <mergeCell ref="A78:D78"/>
    <mergeCell ref="A79:D79"/>
    <mergeCell ref="F46:G47"/>
    <mergeCell ref="A66:E66"/>
    <mergeCell ref="B64:F64"/>
    <mergeCell ref="E40:E41"/>
    <mergeCell ref="E42:E43"/>
    <mergeCell ref="E44:E45"/>
    <mergeCell ref="A72:D72"/>
    <mergeCell ref="A74:D74"/>
    <mergeCell ref="E95:F95"/>
    <mergeCell ref="E96:F96"/>
    <mergeCell ref="E107:F107"/>
    <mergeCell ref="E108:F108"/>
    <mergeCell ref="A103:G103"/>
    <mergeCell ref="A1:B4"/>
    <mergeCell ref="A59:B62"/>
    <mergeCell ref="C1:E4"/>
    <mergeCell ref="E46:E47"/>
    <mergeCell ref="F40:G41"/>
    <mergeCell ref="F42:G43"/>
    <mergeCell ref="A44:B45"/>
    <mergeCell ref="A46:B47"/>
    <mergeCell ref="A19:G19"/>
    <mergeCell ref="A18:G18"/>
    <mergeCell ref="A20:G20"/>
    <mergeCell ref="A21:G21"/>
    <mergeCell ref="A22:G22"/>
    <mergeCell ref="F1:F2"/>
    <mergeCell ref="G1:G2"/>
    <mergeCell ref="F3:F4"/>
    <mergeCell ref="G3:G4"/>
    <mergeCell ref="E134:F134"/>
    <mergeCell ref="E101:F101"/>
    <mergeCell ref="F121:F122"/>
    <mergeCell ref="F119:F120"/>
    <mergeCell ref="A119:B122"/>
    <mergeCell ref="C119:E122"/>
    <mergeCell ref="A101:D101"/>
    <mergeCell ref="A87:G88"/>
    <mergeCell ref="A95:D95"/>
    <mergeCell ref="A100:D100"/>
    <mergeCell ref="G121:G122"/>
    <mergeCell ref="G119:G120"/>
    <mergeCell ref="E91:F91"/>
    <mergeCell ref="A91:D91"/>
    <mergeCell ref="E98:F98"/>
    <mergeCell ref="E100:F100"/>
    <mergeCell ref="A105:F105"/>
    <mergeCell ref="A106:D106"/>
    <mergeCell ref="A109:D109"/>
    <mergeCell ref="E106:F106"/>
    <mergeCell ref="A107:D107"/>
    <mergeCell ref="A108:D108"/>
    <mergeCell ref="A93:D93"/>
    <mergeCell ref="A94:D94"/>
    <mergeCell ref="C157:E157"/>
    <mergeCell ref="A138:D138"/>
    <mergeCell ref="E138:F138"/>
    <mergeCell ref="A139:D139"/>
    <mergeCell ref="E139:F139"/>
    <mergeCell ref="A140:F140"/>
    <mergeCell ref="E135:F135"/>
    <mergeCell ref="A136:D136"/>
    <mergeCell ref="E136:F136"/>
    <mergeCell ref="A137:D137"/>
    <mergeCell ref="E137:F137"/>
    <mergeCell ref="C153:E153"/>
    <mergeCell ref="C154:E154"/>
    <mergeCell ref="C155:E155"/>
    <mergeCell ref="C151:E151"/>
    <mergeCell ref="C152:E152"/>
    <mergeCell ref="A142:D142"/>
    <mergeCell ref="B147:F147"/>
    <mergeCell ref="C156:E156"/>
    <mergeCell ref="E141:F141"/>
    <mergeCell ref="A141:D141"/>
    <mergeCell ref="E142:F142"/>
    <mergeCell ref="A135:D135"/>
    <mergeCell ref="A73:D73"/>
    <mergeCell ref="A68:G69"/>
    <mergeCell ref="A90:D90"/>
    <mergeCell ref="A89:F89"/>
    <mergeCell ref="A71:D71"/>
    <mergeCell ref="C59:E62"/>
    <mergeCell ref="A75:D75"/>
    <mergeCell ref="A76:D76"/>
    <mergeCell ref="C40:D41"/>
    <mergeCell ref="A70:G70"/>
    <mergeCell ref="F59:F60"/>
    <mergeCell ref="G59:G60"/>
    <mergeCell ref="F61:F62"/>
    <mergeCell ref="G61:G62"/>
    <mergeCell ref="A42:B43"/>
    <mergeCell ref="F44:G45"/>
    <mergeCell ref="A82:D82"/>
    <mergeCell ref="E132:F132"/>
    <mergeCell ref="A133:D133"/>
    <mergeCell ref="E113:F113"/>
    <mergeCell ref="A113:D113"/>
    <mergeCell ref="A114:D114"/>
    <mergeCell ref="E114:F114"/>
    <mergeCell ref="A115:F115"/>
    <mergeCell ref="A116:D116"/>
    <mergeCell ref="A117:D117"/>
    <mergeCell ref="E116:F116"/>
    <mergeCell ref="E117:F117"/>
    <mergeCell ref="A126:G127"/>
    <mergeCell ref="A134:D134"/>
    <mergeCell ref="A77:D77"/>
    <mergeCell ref="A81:D81"/>
    <mergeCell ref="A83:D83"/>
    <mergeCell ref="A99:F99"/>
    <mergeCell ref="A98:D98"/>
    <mergeCell ref="A96:D96"/>
    <mergeCell ref="A97:D97"/>
    <mergeCell ref="A80:G80"/>
    <mergeCell ref="E97:F97"/>
    <mergeCell ref="E92:F92"/>
    <mergeCell ref="E93:F93"/>
    <mergeCell ref="E94:F94"/>
    <mergeCell ref="A92:D92"/>
    <mergeCell ref="A110:D110"/>
    <mergeCell ref="A111:D111"/>
    <mergeCell ref="A112:D112"/>
    <mergeCell ref="E133:F133"/>
    <mergeCell ref="A129:F129"/>
    <mergeCell ref="A130:D130"/>
    <mergeCell ref="E130:F130"/>
    <mergeCell ref="A131:D131"/>
    <mergeCell ref="E131:F131"/>
    <mergeCell ref="A132:D132"/>
  </mergeCells>
  <pageMargins left="0.7" right="0.7" top="0.75" bottom="0.75" header="0.3" footer="0.3"/>
  <pageSetup paperSize="9" scale="84" fitToWidth="0" orientation="portrait" r:id="rId1"/>
  <rowBreaks count="2" manualBreakCount="2">
    <brk id="56" max="6" man="1"/>
    <brk id="11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E6BD-787E-41B9-B8CB-ECABED246E3C}">
  <dimension ref="A1"/>
  <sheetViews>
    <sheetView workbookViewId="0"/>
  </sheetViews>
  <sheetFormatPr baseColWidth="10" defaultColWidth="11" defaultRowHeight="14" x14ac:dyDescent="0.3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239b60-8986-4974-9986-9eb42a811b62" xsi:nil="true"/>
    <lcf76f155ced4ddcb4097134ff3c332f xmlns="565449ca-7439-41ef-8a99-eb331a747a2b">
      <Terms xmlns="http://schemas.microsoft.com/office/infopath/2007/PartnerControls"/>
    </lcf76f155ced4ddcb4097134ff3c332f>
    <ArchiverLinkFileType xmlns="565449ca-7439-41ef-8a99-eb331a747a2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85E3145E2BC419F3A90F2FCCB5756" ma:contentTypeVersion="70" ma:contentTypeDescription="Create a new document." ma:contentTypeScope="" ma:versionID="54243cb4bf2e205dd9a04ac0d929e7a5">
  <xsd:schema xmlns:xsd="http://www.w3.org/2001/XMLSchema" xmlns:xs="http://www.w3.org/2001/XMLSchema" xmlns:p="http://schemas.microsoft.com/office/2006/metadata/properties" xmlns:ns2="565449ca-7439-41ef-8a99-eb331a747a2b" xmlns:ns3="52239b60-8986-4974-9986-9eb42a811b62" targetNamespace="http://schemas.microsoft.com/office/2006/metadata/properties" ma:root="true" ma:fieldsID="fbb03b9e80476ec0a54f7d9541295410" ns2:_="" ns3:_="">
    <xsd:import namespace="565449ca-7439-41ef-8a99-eb331a747a2b"/>
    <xsd:import namespace="52239b60-8986-4974-9986-9eb42a811b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5449ca-7439-41ef-8a99-eb331a747a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e99b4b-6352-45ea-895a-9a6582aee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ArchiverLinkFileType" ma:index="21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39b60-8986-4974-9986-9eb42a811b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8df6f5-f7f6-4f5d-a874-24095ec0b6f0}" ma:internalName="TaxCatchAll" ma:showField="CatchAllData" ma:web="52239b60-8986-4974-9986-9eb42a811b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CAED85-2087-4E12-B3C2-1210E5CBD134}">
  <ds:schemaRefs>
    <ds:schemaRef ds:uri="http://purl.org/dc/terms/"/>
    <ds:schemaRef ds:uri="52239b60-8986-4974-9986-9eb42a811b62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65449ca-7439-41ef-8a99-eb331a747a2b"/>
  </ds:schemaRefs>
</ds:datastoreItem>
</file>

<file path=customXml/itemProps2.xml><?xml version="1.0" encoding="utf-8"?>
<ds:datastoreItem xmlns:ds="http://schemas.openxmlformats.org/officeDocument/2006/customXml" ds:itemID="{704954C4-4D01-4CCF-85CB-76AB12F97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5449ca-7439-41ef-8a99-eb331a747a2b"/>
    <ds:schemaRef ds:uri="52239b60-8986-4974-9986-9eb42a811b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E56CC1-DFEC-4672-9E61-E2E19FD20F1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6</vt:i4>
      </vt:variant>
    </vt:vector>
  </HeadingPairs>
  <TitlesOfParts>
    <vt:vector size="8" baseType="lpstr">
      <vt:lpstr>Sheet1</vt:lpstr>
      <vt:lpstr>Hoja1</vt:lpstr>
      <vt:lpstr>Sheet1!_Hlk9649638</vt:lpstr>
      <vt:lpstr>Sheet1!_Toc9649879</vt:lpstr>
      <vt:lpstr>Sheet1!_Toc9649881</vt:lpstr>
      <vt:lpstr>Sheet1!_Toc9649882</vt:lpstr>
      <vt:lpstr>Sheet1!_Toc9649883</vt:lpstr>
      <vt:lpstr>Sheet1!Área_de_impresión</vt:lpstr>
    </vt:vector>
  </TitlesOfParts>
  <Manager/>
  <Company>Metso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San Martin</dc:creator>
  <cp:keywords/>
  <dc:description/>
  <cp:lastModifiedBy>Ignacio Cruz</cp:lastModifiedBy>
  <cp:revision/>
  <cp:lastPrinted>2026-05-05T15:24:39Z</cp:lastPrinted>
  <dcterms:created xsi:type="dcterms:W3CDTF">2008-01-21T00:55:59Z</dcterms:created>
  <dcterms:modified xsi:type="dcterms:W3CDTF">2026-05-05T15:25:52Z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etsoConfidentiality">
    <vt:lpwstr>RESTRICTED</vt:lpwstr>
  </property>
  <property fmtid="{D5CDD505-2E9C-101B-9397-08002B2CF9AE}" pid="3" name="Order">
    <vt:r8>613800</vt:r8>
  </property>
  <property fmtid="{D5CDD505-2E9C-101B-9397-08002B2CF9AE}" pid="4" name="ContentTypeId">
    <vt:lpwstr>0x01010051D85E3145E2BC419F3A90F2FCCB5756</vt:lpwstr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MediaServiceImageTags">
    <vt:lpwstr/>
  </property>
  <property fmtid="{D5CDD505-2E9C-101B-9397-08002B2CF9AE}" pid="9" name="MSIP_Label_cf94ec86-1971-49f7-9cf6-852f05b3fa8c_Enabled">
    <vt:lpwstr>true</vt:lpwstr>
  </property>
  <property fmtid="{D5CDD505-2E9C-101B-9397-08002B2CF9AE}" pid="10" name="MSIP_Label_cf94ec86-1971-49f7-9cf6-852f05b3fa8c_SetDate">
    <vt:lpwstr>2025-09-22T15:16:49Z</vt:lpwstr>
  </property>
  <property fmtid="{D5CDD505-2E9C-101B-9397-08002B2CF9AE}" pid="11" name="MSIP_Label_cf94ec86-1971-49f7-9cf6-852f05b3fa8c_Method">
    <vt:lpwstr>Privileged</vt:lpwstr>
  </property>
  <property fmtid="{D5CDD505-2E9C-101B-9397-08002B2CF9AE}" pid="12" name="MSIP_Label_cf94ec86-1971-49f7-9cf6-852f05b3fa8c_Name">
    <vt:lpwstr>cf94ec86-1971-49f7-9cf6-852f05b3fa8c</vt:lpwstr>
  </property>
  <property fmtid="{D5CDD505-2E9C-101B-9397-08002B2CF9AE}" pid="13" name="MSIP_Label_cf94ec86-1971-49f7-9cf6-852f05b3fa8c_SiteId">
    <vt:lpwstr>5c5456f4-c402-40c5-a73d-e78777e7bf9e</vt:lpwstr>
  </property>
  <property fmtid="{D5CDD505-2E9C-101B-9397-08002B2CF9AE}" pid="14" name="MSIP_Label_cf94ec86-1971-49f7-9cf6-852f05b3fa8c_ActionId">
    <vt:lpwstr>14d00dba-aa95-4597-8dce-d336fc6d498b</vt:lpwstr>
  </property>
  <property fmtid="{D5CDD505-2E9C-101B-9397-08002B2CF9AE}" pid="15" name="MSIP_Label_cf94ec86-1971-49f7-9cf6-852f05b3fa8c_ContentBits">
    <vt:lpwstr>0</vt:lpwstr>
  </property>
  <property fmtid="{D5CDD505-2E9C-101B-9397-08002B2CF9AE}" pid="16" name="MSIP_Label_cf94ec86-1971-49f7-9cf6-852f05b3fa8c_Tag">
    <vt:lpwstr>10, 0, 1, 1</vt:lpwstr>
  </property>
</Properties>
</file>